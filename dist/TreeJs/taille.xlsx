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victo\Desktop\three\"/>
    </mc:Choice>
  </mc:AlternateContent>
  <xr:revisionPtr revIDLastSave="0" documentId="13_ncr:1_{D169469B-5FED-4A2B-8116-932B8593FB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F12" i="1"/>
  <c r="G12" i="1"/>
  <c r="H12" i="1"/>
  <c r="I12" i="1"/>
  <c r="J12" i="1"/>
  <c r="B12" i="1"/>
  <c r="C12" i="1"/>
  <c r="D12" i="1"/>
  <c r="D14" i="1"/>
  <c r="E10" i="1"/>
  <c r="C11" i="1"/>
  <c r="D11" i="1"/>
  <c r="E11" i="1"/>
  <c r="F11" i="1"/>
  <c r="G11" i="1"/>
  <c r="H11" i="1"/>
  <c r="I11" i="1"/>
  <c r="J11" i="1"/>
  <c r="B11" i="1"/>
  <c r="C10" i="1"/>
  <c r="B10" i="1"/>
  <c r="D10" i="1"/>
  <c r="F10" i="1"/>
  <c r="G10" i="1"/>
  <c r="H10" i="1"/>
  <c r="I10" i="1"/>
  <c r="J10" i="1"/>
</calcChain>
</file>

<file path=xl/sharedStrings.xml><?xml version="1.0" encoding="utf-8"?>
<sst xmlns="http://schemas.openxmlformats.org/spreadsheetml/2006/main" count="54" uniqueCount="53">
  <si>
    <t> MERCURY </t>
  </si>
  <si>
    <t> VENUS </t>
  </si>
  <si>
    <t> EARTH </t>
  </si>
  <si>
    <t> MOON </t>
  </si>
  <si>
    <t> MARS </t>
  </si>
  <si>
    <t> JUPITER </t>
  </si>
  <si>
    <t> SATURN </t>
  </si>
  <si>
    <t> URANUS </t>
  </si>
  <si>
    <t> NEPTUNE </t>
  </si>
  <si>
    <t>Mass (1024kg)</t>
  </si>
  <si>
    <t>0.330</t>
  </si>
  <si>
    <t>4.87</t>
  </si>
  <si>
    <t>5.97</t>
  </si>
  <si>
    <t>0.073</t>
  </si>
  <si>
    <t>0.642</t>
  </si>
  <si>
    <t>86.8</t>
  </si>
  <si>
    <t>Diameter (km)</t>
  </si>
  <si>
    <t>Density (kg/m3)</t>
  </si>
  <si>
    <t>Gravity (m/s2)</t>
  </si>
  <si>
    <t>3.7</t>
  </si>
  <si>
    <t>8.9</t>
  </si>
  <si>
    <t>9.8</t>
  </si>
  <si>
    <t>1.6</t>
  </si>
  <si>
    <t>23.1</t>
  </si>
  <si>
    <t>9.0</t>
  </si>
  <si>
    <t>8.7</t>
  </si>
  <si>
    <t>11.0</t>
  </si>
  <si>
    <t>Escape Velocity (km/s)</t>
  </si>
  <si>
    <t>4.3</t>
  </si>
  <si>
    <t>10.4</t>
  </si>
  <si>
    <t>11.2</t>
  </si>
  <si>
    <t>2.4</t>
  </si>
  <si>
    <t>5.0</t>
  </si>
  <si>
    <t>59.5</t>
  </si>
  <si>
    <t>35.5</t>
  </si>
  <si>
    <t>21.3</t>
  </si>
  <si>
    <t>23.5</t>
  </si>
  <si>
    <t>Rotation Period (hours)</t>
  </si>
  <si>
    <t>9.9</t>
  </si>
  <si>
    <t>10.7</t>
  </si>
  <si>
    <t>16.1</t>
  </si>
  <si>
    <t>Length of Day (hours)</t>
  </si>
  <si>
    <t>4222.6</t>
  </si>
  <si>
    <t>2802.0</t>
  </si>
  <si>
    <t>24.0</t>
  </si>
  <si>
    <t>708.7</t>
  </si>
  <si>
    <t>24.7</t>
  </si>
  <si>
    <t>17.2</t>
  </si>
  <si>
    <t>sun</t>
  </si>
  <si>
    <t>Orbital Period (days)</t>
  </si>
  <si>
    <t>taile</t>
  </si>
  <si>
    <t>rotation autour</t>
  </si>
  <si>
    <t>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</si>
</sst>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2" fillId="3" borderId="1" xfId="1" applyFill="1" applyBorder="1" applyAlignment="1">
      <alignment horizontal="center" vertical="center" wrapText="1"/>
    </xf>
    <xf numFmtId="0" fontId="2" fillId="2" borderId="1" xfId="1" applyFill="1" applyBorder="1" applyAlignment="1">
      <alignment horizontal="center" vertical="center" wrapText="1"/>
    </xf>
    <xf numFmtId="0" fontId="2" fillId="2" borderId="1" xfId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quotePrefix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ssdc.gsfc.nasa.gov/planetary/factsheet/uranusfact.html" TargetMode="External"/><Relationship Id="rId13" Type="http://schemas.openxmlformats.org/officeDocument/2006/relationships/hyperlink" Target="https://nssdc.gsfc.nasa.gov/planetary/factsheet/planetfact_notes.html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nssdc.gsfc.nasa.gov/planetary/factsheet/earthfact.html" TargetMode="External"/><Relationship Id="rId7" Type="http://schemas.openxmlformats.org/officeDocument/2006/relationships/hyperlink" Target="https://nssdc.gsfc.nasa.gov/planetary/factsheet/saturnfact.html" TargetMode="External"/><Relationship Id="rId12" Type="http://schemas.openxmlformats.org/officeDocument/2006/relationships/hyperlink" Target="https://nssdc.gsfc.nasa.gov/planetary/factsheet/planetfact_notes.html" TargetMode="External"/><Relationship Id="rId17" Type="http://schemas.openxmlformats.org/officeDocument/2006/relationships/hyperlink" Target="https://nssdc.gsfc.nasa.gov/planetary/factsheet/planetfact_notes.html" TargetMode="External"/><Relationship Id="rId2" Type="http://schemas.openxmlformats.org/officeDocument/2006/relationships/hyperlink" Target="https://nssdc.gsfc.nasa.gov/planetary/factsheet/venusfact.html" TargetMode="External"/><Relationship Id="rId16" Type="http://schemas.openxmlformats.org/officeDocument/2006/relationships/hyperlink" Target="https://nssdc.gsfc.nasa.gov/planetary/factsheet/planetfact_notes.html" TargetMode="External"/><Relationship Id="rId1" Type="http://schemas.openxmlformats.org/officeDocument/2006/relationships/hyperlink" Target="https://nssdc.gsfc.nasa.gov/planetary/factsheet/mercuryfact.html" TargetMode="External"/><Relationship Id="rId6" Type="http://schemas.openxmlformats.org/officeDocument/2006/relationships/hyperlink" Target="https://nssdc.gsfc.nasa.gov/planetary/factsheet/jupiterfact.html" TargetMode="External"/><Relationship Id="rId11" Type="http://schemas.openxmlformats.org/officeDocument/2006/relationships/hyperlink" Target="https://nssdc.gsfc.nasa.gov/planetary/factsheet/planetfact_notes.html" TargetMode="External"/><Relationship Id="rId5" Type="http://schemas.openxmlformats.org/officeDocument/2006/relationships/hyperlink" Target="https://nssdc.gsfc.nasa.gov/planetary/factsheet/marsfact.html" TargetMode="External"/><Relationship Id="rId15" Type="http://schemas.openxmlformats.org/officeDocument/2006/relationships/hyperlink" Target="https://nssdc.gsfc.nasa.gov/planetary/factsheet/planetfact_notes.html" TargetMode="External"/><Relationship Id="rId10" Type="http://schemas.openxmlformats.org/officeDocument/2006/relationships/hyperlink" Target="https://nssdc.gsfc.nasa.gov/planetary/factsheet/planetfact_notes.html" TargetMode="External"/><Relationship Id="rId4" Type="http://schemas.openxmlformats.org/officeDocument/2006/relationships/hyperlink" Target="https://nssdc.gsfc.nasa.gov/planetary/factsheet/moonfact.html" TargetMode="External"/><Relationship Id="rId9" Type="http://schemas.openxmlformats.org/officeDocument/2006/relationships/hyperlink" Target="https://nssdc.gsfc.nasa.gov/planetary/factsheet/neptunefact.html" TargetMode="External"/><Relationship Id="rId14" Type="http://schemas.openxmlformats.org/officeDocument/2006/relationships/hyperlink" Target="https://nssdc.gsfc.nasa.gov/planetary/factsheet/planetfact_not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A2" workbookViewId="0">
      <selection activeCell="M8" sqref="M8"/>
    </sheetView>
  </sheetViews>
  <sheetFormatPr baseColWidth="10" defaultColWidth="8.88671875" defaultRowHeight="14.4" x14ac:dyDescent="0.3"/>
  <cols>
    <col min="4" max="4" width="12" bestFit="1" customWidth="1"/>
    <col min="7" max="7" width="16.77734375" customWidth="1"/>
    <col min="8" max="8" width="23.109375" customWidth="1"/>
    <col min="9" max="9" width="20.109375" customWidth="1"/>
    <col min="10" max="10" width="21" customWidth="1"/>
  </cols>
  <sheetData>
    <row r="1" spans="1:11" ht="29.4" thickBot="1" x14ac:dyDescent="0.35">
      <c r="B1" s="1" t="s">
        <v>0</v>
      </c>
      <c r="C1" s="2" t="s">
        <v>1</v>
      </c>
      <c r="D1" s="1" t="s">
        <v>2</v>
      </c>
      <c r="E1" s="2" t="s">
        <v>3</v>
      </c>
      <c r="F1" s="1" t="s">
        <v>4</v>
      </c>
      <c r="G1" s="2" t="s">
        <v>5</v>
      </c>
      <c r="H1" s="1" t="s">
        <v>6</v>
      </c>
      <c r="I1" s="2" t="s">
        <v>7</v>
      </c>
      <c r="J1" s="1" t="s">
        <v>8</v>
      </c>
      <c r="K1" t="s">
        <v>48</v>
      </c>
    </row>
    <row r="2" spans="1:11" ht="29.4" thickBot="1" x14ac:dyDescent="0.35">
      <c r="A2" s="3" t="s">
        <v>9</v>
      </c>
      <c r="B2" s="4" t="s">
        <v>10</v>
      </c>
      <c r="C2" s="5" t="s">
        <v>11</v>
      </c>
      <c r="D2" s="4" t="s">
        <v>12</v>
      </c>
      <c r="E2" s="5" t="s">
        <v>13</v>
      </c>
      <c r="F2" s="4" t="s">
        <v>14</v>
      </c>
      <c r="G2" s="5">
        <v>1898</v>
      </c>
      <c r="H2" s="4">
        <v>568</v>
      </c>
      <c r="I2" s="5" t="s">
        <v>15</v>
      </c>
      <c r="J2" s="4">
        <v>102</v>
      </c>
    </row>
    <row r="3" spans="1:11" ht="29.4" thickBot="1" x14ac:dyDescent="0.35">
      <c r="A3" s="3" t="s">
        <v>16</v>
      </c>
      <c r="B3" s="4">
        <v>4879</v>
      </c>
      <c r="C3" s="5">
        <v>12104</v>
      </c>
      <c r="D3" s="4">
        <v>12756</v>
      </c>
      <c r="E3" s="5">
        <v>3475</v>
      </c>
      <c r="F3" s="4">
        <v>6792</v>
      </c>
      <c r="G3" s="5">
        <v>142984</v>
      </c>
      <c r="H3" s="4">
        <v>120536</v>
      </c>
      <c r="I3" s="5">
        <v>51118</v>
      </c>
      <c r="J3" s="4">
        <v>49528</v>
      </c>
      <c r="K3" s="6">
        <v>1392000</v>
      </c>
    </row>
    <row r="4" spans="1:11" ht="29.4" thickBot="1" x14ac:dyDescent="0.35">
      <c r="A4" s="3" t="s">
        <v>17</v>
      </c>
      <c r="B4" s="4">
        <v>5429</v>
      </c>
      <c r="C4" s="5">
        <v>5243</v>
      </c>
      <c r="D4" s="4">
        <v>5514</v>
      </c>
      <c r="E4" s="5">
        <v>3340</v>
      </c>
      <c r="F4" s="4">
        <v>3934</v>
      </c>
      <c r="G4" s="5">
        <v>1326</v>
      </c>
      <c r="H4" s="4">
        <v>687</v>
      </c>
      <c r="I4" s="5">
        <v>1270</v>
      </c>
      <c r="J4" s="4">
        <v>1638</v>
      </c>
    </row>
    <row r="5" spans="1:11" ht="29.4" thickBot="1" x14ac:dyDescent="0.35">
      <c r="A5" s="3" t="s">
        <v>18</v>
      </c>
      <c r="B5" s="4" t="s">
        <v>19</v>
      </c>
      <c r="C5" s="5" t="s">
        <v>20</v>
      </c>
      <c r="D5" s="4" t="s">
        <v>21</v>
      </c>
      <c r="E5" s="5" t="s">
        <v>22</v>
      </c>
      <c r="F5" s="4" t="s">
        <v>19</v>
      </c>
      <c r="G5" s="5" t="s">
        <v>23</v>
      </c>
      <c r="H5" s="4" t="s">
        <v>24</v>
      </c>
      <c r="I5" s="5" t="s">
        <v>25</v>
      </c>
      <c r="J5" s="4" t="s">
        <v>26</v>
      </c>
    </row>
    <row r="6" spans="1:11" ht="43.8" thickBot="1" x14ac:dyDescent="0.35">
      <c r="A6" s="3" t="s">
        <v>27</v>
      </c>
      <c r="B6" s="4" t="s">
        <v>28</v>
      </c>
      <c r="C6" s="5" t="s">
        <v>29</v>
      </c>
      <c r="D6" s="4" t="s">
        <v>30</v>
      </c>
      <c r="E6" s="5" t="s">
        <v>31</v>
      </c>
      <c r="F6" s="4" t="s">
        <v>32</v>
      </c>
      <c r="G6" s="5" t="s">
        <v>33</v>
      </c>
      <c r="H6" s="4" t="s">
        <v>34</v>
      </c>
      <c r="I6" s="5" t="s">
        <v>35</v>
      </c>
      <c r="J6" s="4" t="s">
        <v>36</v>
      </c>
    </row>
    <row r="7" spans="1:11" ht="43.8" thickBot="1" x14ac:dyDescent="0.35">
      <c r="A7" s="3" t="s">
        <v>37</v>
      </c>
      <c r="B7" s="4">
        <v>1407.6</v>
      </c>
      <c r="C7" s="5">
        <v>-5832.5</v>
      </c>
      <c r="D7" s="4">
        <v>23.9</v>
      </c>
      <c r="E7" s="5">
        <v>655.7</v>
      </c>
      <c r="F7" s="4">
        <v>24.6</v>
      </c>
      <c r="G7" s="5">
        <v>9.9</v>
      </c>
      <c r="H7" s="4">
        <v>10.7</v>
      </c>
      <c r="I7" s="5">
        <v>-17.2</v>
      </c>
      <c r="J7" s="4">
        <v>16.100000000000001</v>
      </c>
    </row>
    <row r="8" spans="1:11" ht="43.8" thickBot="1" x14ac:dyDescent="0.35">
      <c r="A8" s="3" t="s">
        <v>41</v>
      </c>
      <c r="B8" s="4" t="s">
        <v>42</v>
      </c>
      <c r="C8" s="5" t="s">
        <v>43</v>
      </c>
      <c r="D8" s="4" t="s">
        <v>44</v>
      </c>
      <c r="E8" s="5" t="s">
        <v>45</v>
      </c>
      <c r="F8" s="4" t="s">
        <v>46</v>
      </c>
      <c r="G8" s="5" t="s">
        <v>38</v>
      </c>
      <c r="H8" s="4" t="s">
        <v>39</v>
      </c>
      <c r="I8" s="5" t="s">
        <v>47</v>
      </c>
      <c r="J8" s="4" t="s">
        <v>40</v>
      </c>
    </row>
    <row r="9" spans="1:11" ht="43.8" thickBot="1" x14ac:dyDescent="0.35">
      <c r="A9" s="3" t="s">
        <v>49</v>
      </c>
      <c r="B9" s="4">
        <v>88</v>
      </c>
      <c r="C9" s="5">
        <v>224.7</v>
      </c>
      <c r="D9" s="4">
        <v>365.2</v>
      </c>
      <c r="E9" s="5">
        <v>27.3</v>
      </c>
      <c r="F9" s="4">
        <v>687</v>
      </c>
      <c r="G9" s="5">
        <v>4331</v>
      </c>
      <c r="H9" s="4">
        <v>10747</v>
      </c>
      <c r="I9" s="5">
        <v>30589</v>
      </c>
      <c r="J9" s="4">
        <v>59800</v>
      </c>
    </row>
    <row r="10" spans="1:11" x14ac:dyDescent="0.3">
      <c r="A10" t="s">
        <v>50</v>
      </c>
      <c r="B10">
        <f>(B3/1392000)*20</f>
        <v>7.0100574712643679E-2</v>
      </c>
      <c r="C10">
        <f>(C3/1392000)*20</f>
        <v>0.17390804597701148</v>
      </c>
      <c r="D10">
        <f t="shared" ref="D10:J10" si="0">(D3/1392000)*20</f>
        <v>0.18327586206896551</v>
      </c>
      <c r="E10">
        <f>(E3/1392000)*20</f>
        <v>4.9928160919540235E-2</v>
      </c>
      <c r="F10">
        <f t="shared" si="0"/>
        <v>9.758620689655173E-2</v>
      </c>
      <c r="G10">
        <f t="shared" si="0"/>
        <v>2.0543678160919541</v>
      </c>
      <c r="H10">
        <f t="shared" si="0"/>
        <v>1.7318390804597703</v>
      </c>
      <c r="I10">
        <f t="shared" si="0"/>
        <v>0.73445402298850571</v>
      </c>
      <c r="J10">
        <f t="shared" si="0"/>
        <v>0.71160919540229894</v>
      </c>
    </row>
    <row r="11" spans="1:11" x14ac:dyDescent="0.3">
      <c r="A11" t="s">
        <v>51</v>
      </c>
      <c r="B11">
        <f>1/(B9/(365.2))*0.001</f>
        <v>4.15E-3</v>
      </c>
      <c r="C11">
        <f t="shared" ref="C11:J12" si="1">1/(C9/(365.2))*0.001</f>
        <v>1.6252781486426346E-3</v>
      </c>
      <c r="D11">
        <f t="shared" si="1"/>
        <v>1E-3</v>
      </c>
      <c r="E11">
        <f t="shared" si="1"/>
        <v>1.3377289377289376E-2</v>
      </c>
      <c r="F11">
        <f t="shared" si="1"/>
        <v>5.3158660844250364E-4</v>
      </c>
      <c r="G11">
        <f t="shared" si="1"/>
        <v>8.432232740706535E-5</v>
      </c>
      <c r="H11">
        <f t="shared" si="1"/>
        <v>3.3981576253838279E-5</v>
      </c>
      <c r="I11">
        <f t="shared" si="1"/>
        <v>1.193893229592337E-5</v>
      </c>
      <c r="J11">
        <f t="shared" si="1"/>
        <v>6.1070234113712372E-6</v>
      </c>
    </row>
    <row r="12" spans="1:11" x14ac:dyDescent="0.3">
      <c r="A12" t="s">
        <v>52</v>
      </c>
      <c r="B12">
        <f t="shared" ref="B12:C12" si="2">(1/(B7/23.9))*0.3652</f>
        <v>6.2008240977550451E-3</v>
      </c>
      <c r="C12">
        <f t="shared" si="2"/>
        <v>-1.4964903557651093E-3</v>
      </c>
      <c r="D12">
        <f>(1/(D7/23.9))*0.3652</f>
        <v>0.36520000000000002</v>
      </c>
      <c r="E12">
        <f t="shared" ref="E12:J12" si="3">(1/(E7/23.9))*0.3652</f>
        <v>1.3311392405063292E-2</v>
      </c>
      <c r="F12">
        <f t="shared" si="3"/>
        <v>0.3548081300813008</v>
      </c>
      <c r="G12">
        <f t="shared" si="3"/>
        <v>0.88164444444444445</v>
      </c>
      <c r="H12">
        <f t="shared" si="3"/>
        <v>0.81572710280373839</v>
      </c>
      <c r="I12">
        <f t="shared" si="3"/>
        <v>-0.50745813953488372</v>
      </c>
      <c r="J12">
        <f t="shared" si="3"/>
        <v>0.54212919254658376</v>
      </c>
    </row>
    <row r="14" spans="1:11" x14ac:dyDescent="0.3">
      <c r="D14" s="7">
        <f>D11*365.2</f>
        <v>0.36519999999999997</v>
      </c>
    </row>
  </sheetData>
  <hyperlinks>
    <hyperlink ref="B1" r:id="rId1" display="https://nssdc.gsfc.nasa.gov/planetary/factsheet/mercuryfact.html" xr:uid="{68ED15EC-F303-4451-92B5-EA283363DD4D}"/>
    <hyperlink ref="C1" r:id="rId2" display="https://nssdc.gsfc.nasa.gov/planetary/factsheet/venusfact.html" xr:uid="{7FF3392A-561B-430E-80DE-EE4A732B0B1E}"/>
    <hyperlink ref="D1" r:id="rId3" display="https://nssdc.gsfc.nasa.gov/planetary/factsheet/earthfact.html" xr:uid="{D9F57751-C2FE-4BAB-87BB-52298398F931}"/>
    <hyperlink ref="E1" r:id="rId4" display="https://nssdc.gsfc.nasa.gov/planetary/factsheet/moonfact.html" xr:uid="{DE75425B-C267-4706-8BEB-7D1194D50985}"/>
    <hyperlink ref="F1" r:id="rId5" display="https://nssdc.gsfc.nasa.gov/planetary/factsheet/marsfact.html" xr:uid="{6CCE7AEE-F160-4973-8278-337638C22DFF}"/>
    <hyperlink ref="G1" r:id="rId6" display="https://nssdc.gsfc.nasa.gov/planetary/factsheet/jupiterfact.html" xr:uid="{9C943F87-327D-4ECB-AA19-165D263F74A7}"/>
    <hyperlink ref="H1" r:id="rId7" display="https://nssdc.gsfc.nasa.gov/planetary/factsheet/saturnfact.html" xr:uid="{F25C2407-2F98-4944-AC28-5E3E1C1C528F}"/>
    <hyperlink ref="I1" r:id="rId8" display="https://nssdc.gsfc.nasa.gov/planetary/factsheet/uranusfact.html" xr:uid="{B8CACC34-D9C8-4366-94CF-5F4C7769B972}"/>
    <hyperlink ref="J1" r:id="rId9" display="https://nssdc.gsfc.nasa.gov/planetary/factsheet/neptunefact.html" xr:uid="{00B64492-2F8A-444C-AE93-83ADFFE03AEA}"/>
    <hyperlink ref="A2" r:id="rId10" location="mass" display="https://nssdc.gsfc.nasa.gov/planetary/factsheet/planetfact_notes.html - mass" xr:uid="{C528224D-FC2C-41AA-A7FC-DBCCED1C4690}"/>
    <hyperlink ref="A3" r:id="rId11" location="diam" display="https://nssdc.gsfc.nasa.gov/planetary/factsheet/planetfact_notes.html - diam" xr:uid="{2ACAAB51-B03D-414A-942D-EF68C6DA7287}"/>
    <hyperlink ref="A4" r:id="rId12" location="dens" display="https://nssdc.gsfc.nasa.gov/planetary/factsheet/planetfact_notes.html - dens" xr:uid="{322AAEF3-F231-4D56-94D6-4F73AF4B9193}"/>
    <hyperlink ref="A5" r:id="rId13" location="grav" display="https://nssdc.gsfc.nasa.gov/planetary/factsheet/planetfact_notes.html - grav" xr:uid="{3C82C775-0FCE-48FC-9B33-F5D15ABC580D}"/>
    <hyperlink ref="A6" r:id="rId14" location="escv" display="https://nssdc.gsfc.nasa.gov/planetary/factsheet/planetfact_notes.html - escv" xr:uid="{BD290959-5A2A-415E-8411-CF024343E7D6}"/>
    <hyperlink ref="A7" r:id="rId15" location="rotp" display="https://nssdc.gsfc.nasa.gov/planetary/factsheet/planetfact_notes.html - rotp" xr:uid="{6C50A6B8-5C45-4959-BCDA-BAE9896D3DB6}"/>
    <hyperlink ref="A8" r:id="rId16" location="leng" display="https://nssdc.gsfc.nasa.gov/planetary/factsheet/planetfact_notes.html - leng" xr:uid="{23C5D663-3953-4B29-A1E7-2B7BE902E5BE}"/>
    <hyperlink ref="A9" r:id="rId17" location="orbp" display="https://nssdc.gsfc.nasa.gov/planetary/factsheet/planetfact_notes.html - orbp" xr:uid="{F7549D59-4DA4-4649-8422-9CB3066C9756}"/>
  </hyperlinks>
  <pageMargins left="0.7" right="0.7" top="0.75" bottom="0.75" header="0.3" footer="0.3"/>
  <pageSetup paperSize="9"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Bluntz</dc:creator>
  <cp:lastModifiedBy>Victor COMBEMORELBLUNTZ</cp:lastModifiedBy>
  <dcterms:created xsi:type="dcterms:W3CDTF">2015-06-05T18:19:34Z</dcterms:created>
  <dcterms:modified xsi:type="dcterms:W3CDTF">2025-07-28T08:55:20Z</dcterms:modified>
</cp:coreProperties>
</file>